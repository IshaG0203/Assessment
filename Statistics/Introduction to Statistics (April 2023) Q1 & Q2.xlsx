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Statistics\"/>
    </mc:Choice>
  </mc:AlternateContent>
  <xr:revisionPtr revIDLastSave="0" documentId="13_ncr:1_{116AAD5B-717D-4C98-BDEB-37101A9F2DF4}" xr6:coauthVersionLast="47" xr6:coauthVersionMax="47" xr10:uidLastSave="{00000000-0000-0000-0000-000000000000}"/>
  <bookViews>
    <workbookView xWindow="-108" yWindow="-108" windowWidth="23256" windowHeight="12456" activeTab="1" xr2:uid="{EEE8EEA4-BBAC-4E64-A23F-1A5A6FD4DFFD}"/>
  </bookViews>
  <sheets>
    <sheet name="Question 1" sheetId="1" r:id="rId1"/>
    <sheet name="Question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6" i="2" l="1"/>
  <c r="B25" i="2"/>
  <c r="F23" i="2"/>
  <c r="F22" i="2"/>
  <c r="F21" i="2"/>
  <c r="D23" i="2"/>
  <c r="B23" i="2"/>
  <c r="D22" i="2"/>
  <c r="D21" i="2"/>
  <c r="B22" i="2"/>
  <c r="B21" i="2"/>
  <c r="B12" i="2"/>
  <c r="D12" i="2"/>
  <c r="F12" i="2"/>
  <c r="F11" i="2"/>
  <c r="F10" i="2"/>
  <c r="D16" i="2" l="1"/>
  <c r="B16" i="2"/>
  <c r="B18" i="2" s="1"/>
  <c r="B17" i="2"/>
  <c r="D17" i="2"/>
  <c r="F16" i="2" l="1"/>
  <c r="F17" i="2"/>
  <c r="D18" i="2"/>
  <c r="F18" i="2" l="1"/>
  <c r="B26" i="1"/>
  <c r="B20" i="1"/>
  <c r="B23" i="1"/>
  <c r="B19" i="1"/>
</calcChain>
</file>

<file path=xl/sharedStrings.xml><?xml version="1.0" encoding="utf-8"?>
<sst xmlns="http://schemas.openxmlformats.org/spreadsheetml/2006/main" count="60" uniqueCount="35">
  <si>
    <t>Module 1. Introduction to Statistics (April 2023)</t>
  </si>
  <si>
    <t>Question 1. There is an assumption that there is no significant difference between boys and girls with respect to intelligence. Tests are conducted on two groups and the following are the observations</t>
  </si>
  <si>
    <t>Standard Deviation</t>
  </si>
  <si>
    <t xml:space="preserve">Mean  </t>
  </si>
  <si>
    <t>Size</t>
  </si>
  <si>
    <t>Girls</t>
  </si>
  <si>
    <t>Boys</t>
  </si>
  <si>
    <t>Validate the claim with 5% LoS (Level of Significance)</t>
  </si>
  <si>
    <t>H₀</t>
  </si>
  <si>
    <t>μ₁ = μ₂</t>
  </si>
  <si>
    <t>There is no significant difference in intelligence between girls and boys.</t>
  </si>
  <si>
    <t>H₁</t>
  </si>
  <si>
    <t>μ₁ ≠ μ₂</t>
  </si>
  <si>
    <t>There is a significant difference in intelligence.</t>
  </si>
  <si>
    <t>Z - test</t>
  </si>
  <si>
    <t>P - Value</t>
  </si>
  <si>
    <t>Z Critical</t>
  </si>
  <si>
    <t>1.96 &lt; 7.0175659</t>
  </si>
  <si>
    <t>α</t>
  </si>
  <si>
    <t>0.00 &lt; 0.05</t>
  </si>
  <si>
    <t>Reject H₀</t>
  </si>
  <si>
    <t>Question 2. Analyze the below data and tell whether you can conclude that smoking causes cancer or not?</t>
  </si>
  <si>
    <t>Category</t>
  </si>
  <si>
    <t>Diagnosed as Cancer</t>
  </si>
  <si>
    <t>Total</t>
  </si>
  <si>
    <t xml:space="preserve">Without Cancer </t>
  </si>
  <si>
    <t>Smokers</t>
  </si>
  <si>
    <t>Non-Smokers</t>
  </si>
  <si>
    <t xml:space="preserve">Total </t>
  </si>
  <si>
    <t>Oi : Observation</t>
  </si>
  <si>
    <t>Ei : Expectations</t>
  </si>
  <si>
    <t>DF</t>
  </si>
  <si>
    <t>Chi-square</t>
  </si>
  <si>
    <t>Critical Chi-square</t>
  </si>
  <si>
    <t>24 &gt; 3.84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</si>
</sst>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20"/>
      <color theme="1"/>
      <name val="Times New Roman"/>
      <family val="1"/>
    </font>
    <font>
      <sz val="11"/>
      <color theme="1"/>
      <name val="Times New Roman"/>
      <family val="1"/>
    </font>
    <font>
      <b/>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2" fillId="0" borderId="1" xfId="0" applyFont="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 fillId="0" borderId="1" xfId="0" applyFont="1" applyBorder="1" applyAlignment="1">
      <alignment horizontal="center" vertical="center"/>
    </xf>
    <xf numFmtId="0" fontId="3" fillId="0" borderId="0" xfId="0" applyFont="1"/>
    <xf numFmtId="0" fontId="4" fillId="0" borderId="0" xfId="0" applyFont="1" applyAlignment="1">
      <alignment horizontal="left"/>
    </xf>
    <xf numFmtId="0" fontId="3" fillId="0" borderId="1" xfId="0" applyFont="1" applyBorder="1" applyAlignment="1">
      <alignment horizontal="center"/>
    </xf>
    <xf numFmtId="0" fontId="4" fillId="0" borderId="1" xfId="0" applyFont="1" applyBorder="1" applyAlignment="1">
      <alignment horizontal="center"/>
    </xf>
    <xf numFmtId="0" fontId="4" fillId="0" borderId="1" xfId="0" applyFont="1" applyBorder="1" applyAlignment="1">
      <alignment horizontal="center" vertical="center"/>
    </xf>
    <xf numFmtId="0" fontId="3" fillId="0" borderId="1" xfId="0" applyFont="1" applyBorder="1" applyAlignment="1">
      <alignment horizontal="center"/>
    </xf>
    <xf numFmtId="0" fontId="4" fillId="0" borderId="0" xfId="0" applyFont="1" applyAlignment="1">
      <alignment horizontal="left" vertical="center"/>
    </xf>
    <xf numFmtId="0" fontId="3" fillId="0" borderId="0" xfId="0" applyFont="1" applyAlignment="1">
      <alignment horizontal="left"/>
    </xf>
    <xf numFmtId="2" fontId="3" fillId="0" borderId="0" xfId="0" applyNumberFormat="1" applyFont="1"/>
    <xf numFmtId="0" fontId="3" fillId="0" borderId="0" xfId="0" applyFont="1" applyAlignment="1">
      <alignment horizontal="left" vertical="center"/>
    </xf>
    <xf numFmtId="0" fontId="4" fillId="0" borderId="0" xfId="0" applyFont="1"/>
    <xf numFmtId="0" fontId="4" fillId="0" borderId="1" xfId="0" applyFont="1" applyBorder="1" applyAlignment="1">
      <alignment horizontal="left"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1" fillId="0" borderId="0" xfId="0" applyFont="1" applyFill="1" applyBorder="1" applyAlignment="1">
      <alignment horizontal="left" vertical="center" wrapText="1"/>
    </xf>
    <xf numFmtId="1" fontId="0" fillId="0" borderId="1" xfId="0" applyNumberFormat="1" applyBorder="1" applyAlignment="1">
      <alignment horizontal="center" vertical="center"/>
    </xf>
    <xf numFmtId="1" fontId="0" fillId="0" borderId="1" xfId="0" applyNumberFormat="1" applyBorder="1" applyAlignment="1">
      <alignment horizontal="center" vertical="center"/>
    </xf>
    <xf numFmtId="1" fontId="0" fillId="0" borderId="0" xfId="0" applyNumberFormat="1"/>
    <xf numFmtId="0" fontId="0" fillId="0" borderId="1" xfId="0" applyBorder="1"/>
    <xf numFmtId="0" fontId="1" fillId="0" borderId="1" xfId="0" applyFont="1" applyBorder="1"/>
    <xf numFmtId="1" fontId="0" fillId="0" borderId="1" xfId="0" applyNumberFormat="1" applyBorder="1"/>
    <xf numFmtId="0" fontId="1" fillId="0" borderId="1" xfId="0" applyFont="1" applyFill="1" applyBorder="1" applyAlignment="1">
      <alignment horizontal="left" vertical="center"/>
    </xf>
    <xf numFmtId="0" fontId="0" fillId="0" borderId="1" xfId="0" applyBorder="1" applyAlignment="1">
      <alignment horizontal="right"/>
    </xf>
    <xf numFmtId="1" fontId="1"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536DC-E577-453F-A65D-1CA092435FE0}">
  <dimension ref="A1:M28"/>
  <sheetViews>
    <sheetView workbookViewId="0">
      <selection activeCell="F34" sqref="F34"/>
    </sheetView>
  </sheetViews>
  <sheetFormatPr defaultRowHeight="13.8" x14ac:dyDescent="0.25"/>
  <cols>
    <col min="1" max="1" width="8.88671875" style="5"/>
    <col min="2" max="2" width="12" style="5" bestFit="1" customWidth="1"/>
    <col min="3" max="3" width="9.109375" style="5" bestFit="1" customWidth="1"/>
    <col min="4" max="16384" width="8.88671875" style="5"/>
  </cols>
  <sheetData>
    <row r="1" spans="1:13" ht="14.4" customHeight="1" x14ac:dyDescent="0.25">
      <c r="A1" s="1" t="s">
        <v>0</v>
      </c>
      <c r="B1" s="1"/>
      <c r="C1" s="1"/>
      <c r="D1" s="1"/>
      <c r="E1" s="1"/>
      <c r="F1" s="1"/>
      <c r="G1" s="1"/>
      <c r="H1" s="1"/>
      <c r="I1" s="1"/>
      <c r="J1" s="1"/>
    </row>
    <row r="2" spans="1:13" ht="14.4" customHeight="1" x14ac:dyDescent="0.25">
      <c r="A2" s="1"/>
      <c r="B2" s="1"/>
      <c r="C2" s="1"/>
      <c r="D2" s="1"/>
      <c r="E2" s="1"/>
      <c r="F2" s="1"/>
      <c r="G2" s="1"/>
      <c r="H2" s="1"/>
      <c r="I2" s="1"/>
      <c r="J2" s="1"/>
    </row>
    <row r="4" spans="1:13" x14ac:dyDescent="0.25">
      <c r="A4" s="16" t="s">
        <v>1</v>
      </c>
      <c r="B4" s="16"/>
      <c r="C4" s="16"/>
      <c r="D4" s="16"/>
      <c r="E4" s="16"/>
      <c r="F4" s="16"/>
      <c r="G4" s="16"/>
      <c r="H4" s="16"/>
      <c r="I4" s="16"/>
      <c r="J4" s="16"/>
      <c r="K4" s="16"/>
      <c r="L4" s="16"/>
      <c r="M4" s="16"/>
    </row>
    <row r="5" spans="1:13" x14ac:dyDescent="0.25">
      <c r="A5" s="16"/>
      <c r="B5" s="16"/>
      <c r="C5" s="16"/>
      <c r="D5" s="16"/>
      <c r="E5" s="16"/>
      <c r="F5" s="16"/>
      <c r="G5" s="16"/>
      <c r="H5" s="16"/>
      <c r="I5" s="16"/>
      <c r="J5" s="16"/>
      <c r="K5" s="16"/>
      <c r="L5" s="16"/>
      <c r="M5" s="16"/>
    </row>
    <row r="6" spans="1:13" x14ac:dyDescent="0.25">
      <c r="B6" s="6"/>
      <c r="C6" s="6"/>
      <c r="D6" s="6"/>
      <c r="E6" s="6"/>
    </row>
    <row r="7" spans="1:13" x14ac:dyDescent="0.25">
      <c r="A7" s="7"/>
      <c r="B7" s="8" t="s">
        <v>3</v>
      </c>
      <c r="C7" s="9" t="s">
        <v>2</v>
      </c>
      <c r="D7" s="9"/>
      <c r="E7" s="8" t="s">
        <v>4</v>
      </c>
    </row>
    <row r="8" spans="1:13" x14ac:dyDescent="0.25">
      <c r="A8" s="8" t="s">
        <v>5</v>
      </c>
      <c r="B8" s="7">
        <v>89</v>
      </c>
      <c r="C8" s="10">
        <v>4</v>
      </c>
      <c r="D8" s="10"/>
      <c r="E8" s="7">
        <v>50</v>
      </c>
    </row>
    <row r="9" spans="1:13" x14ac:dyDescent="0.25">
      <c r="A9" s="8" t="s">
        <v>6</v>
      </c>
      <c r="B9" s="7">
        <v>82</v>
      </c>
      <c r="C9" s="10">
        <v>9</v>
      </c>
      <c r="D9" s="10"/>
      <c r="E9" s="7">
        <v>120</v>
      </c>
    </row>
    <row r="11" spans="1:13" x14ac:dyDescent="0.25">
      <c r="A11" s="11" t="s">
        <v>7</v>
      </c>
      <c r="B11" s="11"/>
      <c r="C11" s="11"/>
      <c r="D11" s="11"/>
      <c r="E11" s="11"/>
      <c r="F11" s="11"/>
    </row>
    <row r="13" spans="1:13" x14ac:dyDescent="0.25">
      <c r="A13" s="12" t="s">
        <v>8</v>
      </c>
      <c r="B13" s="12" t="s">
        <v>9</v>
      </c>
    </row>
    <row r="14" spans="1:13" x14ac:dyDescent="0.25">
      <c r="A14" s="2" t="s">
        <v>10</v>
      </c>
      <c r="B14" s="2"/>
      <c r="C14" s="2"/>
      <c r="D14" s="2"/>
      <c r="E14" s="2"/>
      <c r="F14" s="2"/>
      <c r="G14" s="2"/>
    </row>
    <row r="16" spans="1:13" x14ac:dyDescent="0.25">
      <c r="A16" s="5" t="s">
        <v>11</v>
      </c>
      <c r="B16" s="5" t="s">
        <v>12</v>
      </c>
    </row>
    <row r="17" spans="1:5" x14ac:dyDescent="0.25">
      <c r="A17" s="2" t="s">
        <v>13</v>
      </c>
      <c r="B17" s="2"/>
      <c r="C17" s="2"/>
      <c r="D17" s="2"/>
      <c r="E17" s="2"/>
    </row>
    <row r="19" spans="1:5" x14ac:dyDescent="0.25">
      <c r="A19" s="5" t="s">
        <v>14</v>
      </c>
      <c r="B19" s="5">
        <f>($B$8-$B$9)/(SQRT(($C$8^2/$E$8) + ($C$9^2/$E$9)))</f>
        <v>7.0175658996391963</v>
      </c>
    </row>
    <row r="20" spans="1:5" x14ac:dyDescent="0.25">
      <c r="A20" s="5" t="s">
        <v>15</v>
      </c>
      <c r="B20" s="13">
        <f>2*(1 - _xlfn.NORM.S.DIST(ABS($B$19), TRUE))</f>
        <v>2.2577495428777183E-12</v>
      </c>
    </row>
    <row r="22" spans="1:5" x14ac:dyDescent="0.25">
      <c r="A22" s="5" t="s">
        <v>16</v>
      </c>
      <c r="B22" s="5">
        <v>1.96</v>
      </c>
    </row>
    <row r="23" spans="1:5" x14ac:dyDescent="0.25">
      <c r="A23" s="5" t="s">
        <v>14</v>
      </c>
      <c r="B23" s="5">
        <f>($B$8-$B$9)/(SQRT(($C$8^2/$E$8) + ($C$9^2/$E$9)))</f>
        <v>7.0175658996391963</v>
      </c>
    </row>
    <row r="24" spans="1:5" x14ac:dyDescent="0.25">
      <c r="A24" s="14" t="s">
        <v>17</v>
      </c>
      <c r="B24" s="14"/>
      <c r="C24" s="15" t="s">
        <v>20</v>
      </c>
    </row>
    <row r="26" spans="1:5" x14ac:dyDescent="0.25">
      <c r="A26" s="5" t="s">
        <v>15</v>
      </c>
      <c r="B26" s="13">
        <f>2*(1 - _xlfn.NORM.S.DIST(ABS($B$19), TRUE))</f>
        <v>2.2577495428777183E-12</v>
      </c>
    </row>
    <row r="27" spans="1:5" x14ac:dyDescent="0.25">
      <c r="A27" s="5" t="s">
        <v>18</v>
      </c>
      <c r="B27" s="5">
        <v>0.05</v>
      </c>
    </row>
    <row r="28" spans="1:5" x14ac:dyDescent="0.25">
      <c r="A28" s="14" t="s">
        <v>19</v>
      </c>
      <c r="B28" s="14"/>
      <c r="C28" s="15" t="s">
        <v>20</v>
      </c>
    </row>
  </sheetData>
  <mergeCells count="10">
    <mergeCell ref="A28:B28"/>
    <mergeCell ref="A11:F11"/>
    <mergeCell ref="A14:G14"/>
    <mergeCell ref="A17:E17"/>
    <mergeCell ref="A24:B24"/>
    <mergeCell ref="A1:J2"/>
    <mergeCell ref="A4:M5"/>
    <mergeCell ref="C7:D7"/>
    <mergeCell ref="C8:D8"/>
    <mergeCell ref="C9: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B588B-9EEF-4052-B609-17F6C2F8545A}">
  <dimension ref="A1:L28"/>
  <sheetViews>
    <sheetView tabSelected="1" workbookViewId="0">
      <selection activeCell="B21" sqref="B21:C21"/>
    </sheetView>
  </sheetViews>
  <sheetFormatPr defaultRowHeight="14.4" x14ac:dyDescent="0.3"/>
  <cols>
    <col min="1" max="1" width="16.77734375" bestFit="1" customWidth="1"/>
  </cols>
  <sheetData>
    <row r="1" spans="1:12" ht="14.4" customHeight="1" x14ac:dyDescent="0.3">
      <c r="A1" s="3" t="s">
        <v>21</v>
      </c>
      <c r="B1" s="3"/>
      <c r="C1" s="3"/>
      <c r="D1" s="3"/>
      <c r="E1" s="3"/>
      <c r="F1" s="3"/>
      <c r="G1" s="3"/>
      <c r="H1" s="3"/>
      <c r="I1" s="3"/>
      <c r="J1" s="3"/>
      <c r="K1" s="3"/>
      <c r="L1" s="3"/>
    </row>
    <row r="3" spans="1:12" x14ac:dyDescent="0.3">
      <c r="A3" s="17" t="s">
        <v>22</v>
      </c>
      <c r="B3" s="4" t="s">
        <v>23</v>
      </c>
      <c r="C3" s="4"/>
      <c r="D3" s="4" t="s">
        <v>25</v>
      </c>
      <c r="E3" s="4"/>
      <c r="F3" s="17" t="s">
        <v>24</v>
      </c>
    </row>
    <row r="4" spans="1:12" x14ac:dyDescent="0.3">
      <c r="A4" s="17" t="s">
        <v>26</v>
      </c>
      <c r="B4" s="18">
        <v>220</v>
      </c>
      <c r="C4" s="18"/>
      <c r="D4" s="18">
        <v>230</v>
      </c>
      <c r="E4" s="18"/>
      <c r="F4" s="19">
        <v>550</v>
      </c>
    </row>
    <row r="5" spans="1:12" x14ac:dyDescent="0.3">
      <c r="A5" s="17" t="s">
        <v>27</v>
      </c>
      <c r="B5" s="18">
        <v>350</v>
      </c>
      <c r="C5" s="18"/>
      <c r="D5" s="18">
        <v>640</v>
      </c>
      <c r="E5" s="18"/>
      <c r="F5" s="19">
        <v>990</v>
      </c>
    </row>
    <row r="6" spans="1:12" x14ac:dyDescent="0.3">
      <c r="A6" s="17" t="s">
        <v>28</v>
      </c>
      <c r="B6" s="18">
        <v>680</v>
      </c>
      <c r="C6" s="18"/>
      <c r="D6" s="18">
        <v>910</v>
      </c>
      <c r="E6" s="18"/>
      <c r="F6" s="19">
        <v>1590</v>
      </c>
    </row>
    <row r="8" spans="1:12" x14ac:dyDescent="0.3">
      <c r="A8" s="20" t="s">
        <v>29</v>
      </c>
      <c r="B8" s="20"/>
    </row>
    <row r="9" spans="1:12" x14ac:dyDescent="0.3">
      <c r="A9" s="17" t="s">
        <v>22</v>
      </c>
      <c r="B9" s="4" t="s">
        <v>23</v>
      </c>
      <c r="C9" s="4"/>
      <c r="D9" s="4" t="s">
        <v>25</v>
      </c>
      <c r="E9" s="4"/>
      <c r="F9" s="17" t="s">
        <v>24</v>
      </c>
    </row>
    <row r="10" spans="1:12" x14ac:dyDescent="0.3">
      <c r="A10" s="17" t="s">
        <v>26</v>
      </c>
      <c r="B10" s="18">
        <v>220</v>
      </c>
      <c r="C10" s="18"/>
      <c r="D10" s="18">
        <v>230</v>
      </c>
      <c r="E10" s="18"/>
      <c r="F10" s="19">
        <f>SUM(B10:E10)</f>
        <v>450</v>
      </c>
    </row>
    <row r="11" spans="1:12" x14ac:dyDescent="0.3">
      <c r="A11" s="17" t="s">
        <v>27</v>
      </c>
      <c r="B11" s="18">
        <v>350</v>
      </c>
      <c r="C11" s="18"/>
      <c r="D11" s="18">
        <v>640</v>
      </c>
      <c r="E11" s="18"/>
      <c r="F11" s="19">
        <f>SUM(B11:E11)</f>
        <v>990</v>
      </c>
    </row>
    <row r="12" spans="1:12" x14ac:dyDescent="0.3">
      <c r="A12" s="17" t="s">
        <v>28</v>
      </c>
      <c r="B12" s="18">
        <f t="shared" ref="B12:C12" si="0">SUM(B10:C11)</f>
        <v>570</v>
      </c>
      <c r="C12" s="18"/>
      <c r="D12" s="18">
        <f>SUM(D10:E11)</f>
        <v>870</v>
      </c>
      <c r="E12" s="18"/>
      <c r="F12" s="19">
        <f>SUM(F10:F11)</f>
        <v>1440</v>
      </c>
    </row>
    <row r="14" spans="1:12" x14ac:dyDescent="0.3">
      <c r="A14" s="20" t="s">
        <v>30</v>
      </c>
      <c r="B14" s="20"/>
    </row>
    <row r="15" spans="1:12" x14ac:dyDescent="0.3">
      <c r="A15" s="17" t="s">
        <v>22</v>
      </c>
      <c r="B15" s="4" t="s">
        <v>23</v>
      </c>
      <c r="C15" s="4"/>
      <c r="D15" s="4" t="s">
        <v>25</v>
      </c>
      <c r="E15" s="4"/>
      <c r="F15" s="17" t="s">
        <v>24</v>
      </c>
    </row>
    <row r="16" spans="1:12" x14ac:dyDescent="0.3">
      <c r="A16" s="17" t="s">
        <v>26</v>
      </c>
      <c r="B16" s="21">
        <f>($F$10*B12)/$F$12</f>
        <v>178.125</v>
      </c>
      <c r="C16" s="21"/>
      <c r="D16" s="21">
        <f>($F$10*D12)/$F$12</f>
        <v>271.875</v>
      </c>
      <c r="E16" s="21"/>
      <c r="F16" s="19">
        <f>B16+D16</f>
        <v>450</v>
      </c>
    </row>
    <row r="17" spans="1:6" x14ac:dyDescent="0.3">
      <c r="A17" s="17" t="s">
        <v>27</v>
      </c>
      <c r="B17" s="21">
        <f>($F$11*B12)/$F$12</f>
        <v>391.875</v>
      </c>
      <c r="C17" s="21"/>
      <c r="D17" s="21">
        <f>($F$11*D12)/$F$12</f>
        <v>598.125</v>
      </c>
      <c r="E17" s="21"/>
      <c r="F17" s="19">
        <f>B17+D17</f>
        <v>990</v>
      </c>
    </row>
    <row r="18" spans="1:6" x14ac:dyDescent="0.3">
      <c r="A18" s="17" t="s">
        <v>28</v>
      </c>
      <c r="B18" s="21">
        <f>B16+B17</f>
        <v>570</v>
      </c>
      <c r="C18" s="18"/>
      <c r="D18" s="21">
        <f>D16+D17</f>
        <v>870</v>
      </c>
      <c r="E18" s="18"/>
      <c r="F18" s="19">
        <f>SUM(F16:F17)</f>
        <v>1440</v>
      </c>
    </row>
    <row r="20" spans="1:6" x14ac:dyDescent="0.3">
      <c r="A20" s="17" t="s">
        <v>22</v>
      </c>
      <c r="B20" s="4" t="s">
        <v>23</v>
      </c>
      <c r="C20" s="4"/>
      <c r="D20" s="4" t="s">
        <v>25</v>
      </c>
      <c r="E20" s="4"/>
      <c r="F20" s="17" t="s">
        <v>24</v>
      </c>
    </row>
    <row r="21" spans="1:6" x14ac:dyDescent="0.3">
      <c r="A21" s="17" t="s">
        <v>26</v>
      </c>
      <c r="B21" s="21">
        <f>(B10-B16)^2/B16</f>
        <v>9.8442982456140342</v>
      </c>
      <c r="C21" s="21"/>
      <c r="D21" s="21">
        <f>(D10-D16)^2/D16</f>
        <v>6.4497126436781613</v>
      </c>
      <c r="E21" s="21"/>
      <c r="F21" s="22">
        <f>SUM(B21:E21)</f>
        <v>16.294010889292196</v>
      </c>
    </row>
    <row r="22" spans="1:6" x14ac:dyDescent="0.3">
      <c r="A22" s="17" t="s">
        <v>27</v>
      </c>
      <c r="B22" s="21">
        <f>(B11-B17)^2/B17</f>
        <v>4.4746810207336525</v>
      </c>
      <c r="C22" s="21"/>
      <c r="D22" s="21">
        <f>(D11-D17)^2/D17</f>
        <v>2.931687565308255</v>
      </c>
      <c r="E22" s="21"/>
      <c r="F22" s="22">
        <f>SUM(B22:E22)</f>
        <v>7.4063685860419071</v>
      </c>
    </row>
    <row r="23" spans="1:6" x14ac:dyDescent="0.3">
      <c r="A23" s="17" t="s">
        <v>28</v>
      </c>
      <c r="B23" s="21">
        <f>B21+B22</f>
        <v>14.318979266347686</v>
      </c>
      <c r="C23" s="18"/>
      <c r="D23" s="21">
        <f>D21+D22</f>
        <v>9.3814002089864168</v>
      </c>
      <c r="E23" s="18"/>
      <c r="F23" s="22">
        <f>F21+F22</f>
        <v>23.700379475334103</v>
      </c>
    </row>
    <row r="25" spans="1:6" x14ac:dyDescent="0.3">
      <c r="A25" s="27" t="s">
        <v>31</v>
      </c>
      <c r="B25" s="24">
        <f>(2-1)*(2-1)</f>
        <v>1</v>
      </c>
      <c r="F25" s="23"/>
    </row>
    <row r="26" spans="1:6" x14ac:dyDescent="0.3">
      <c r="A26" s="25" t="s">
        <v>32</v>
      </c>
      <c r="B26" s="26">
        <f>B21+B22+D21+D22</f>
        <v>23.700379475334103</v>
      </c>
    </row>
    <row r="27" spans="1:6" x14ac:dyDescent="0.3">
      <c r="A27" s="25" t="s">
        <v>33</v>
      </c>
      <c r="B27" s="24">
        <v>3.84</v>
      </c>
    </row>
    <row r="28" spans="1:6" x14ac:dyDescent="0.3">
      <c r="A28" s="29" t="s">
        <v>34</v>
      </c>
      <c r="B28" s="28" t="s">
        <v>20</v>
      </c>
    </row>
  </sheetData>
  <mergeCells count="35">
    <mergeCell ref="B23:C23"/>
    <mergeCell ref="D23:E23"/>
    <mergeCell ref="B20:C20"/>
    <mergeCell ref="D20:E20"/>
    <mergeCell ref="B21:C21"/>
    <mergeCell ref="D21:E21"/>
    <mergeCell ref="B22:C22"/>
    <mergeCell ref="D22:E22"/>
    <mergeCell ref="B16:C16"/>
    <mergeCell ref="D16:E16"/>
    <mergeCell ref="B17:C17"/>
    <mergeCell ref="D17:E17"/>
    <mergeCell ref="B18:C18"/>
    <mergeCell ref="D18:E18"/>
    <mergeCell ref="B11:C11"/>
    <mergeCell ref="D11:E11"/>
    <mergeCell ref="B12:C12"/>
    <mergeCell ref="D12:E12"/>
    <mergeCell ref="A14:B14"/>
    <mergeCell ref="B15:C15"/>
    <mergeCell ref="D15:E15"/>
    <mergeCell ref="D6:E6"/>
    <mergeCell ref="A8:B8"/>
    <mergeCell ref="B9:C9"/>
    <mergeCell ref="D9:E9"/>
    <mergeCell ref="B10:C10"/>
    <mergeCell ref="D10:E10"/>
    <mergeCell ref="A1:L1"/>
    <mergeCell ref="B3:C3"/>
    <mergeCell ref="D3:E3"/>
    <mergeCell ref="B4:C4"/>
    <mergeCell ref="B5:C5"/>
    <mergeCell ref="B6:C6"/>
    <mergeCell ref="D4:E4"/>
    <mergeCell ref="D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1</vt:lpstr>
      <vt:lpstr>Question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 Gorasiya</dc:creator>
  <cp:lastModifiedBy>Isha Gorasiya</cp:lastModifiedBy>
  <dcterms:created xsi:type="dcterms:W3CDTF">2025-10-31T12:46:41Z</dcterms:created>
  <dcterms:modified xsi:type="dcterms:W3CDTF">2025-10-31T16:37:42Z</dcterms:modified>
</cp:coreProperties>
</file>